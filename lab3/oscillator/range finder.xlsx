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251\lab3\oscillator\"/>
    </mc:Choice>
  </mc:AlternateContent>
  <xr:revisionPtr revIDLastSave="0" documentId="8_{AD24D46F-7542-45B1-A6F8-4D60B0AC2EA8}" xr6:coauthVersionLast="47" xr6:coauthVersionMax="47" xr10:uidLastSave="{00000000-0000-0000-0000-000000000000}"/>
  <bookViews>
    <workbookView xWindow="8736" yWindow="696" windowWidth="13740" windowHeight="11232" xr2:uid="{01CC5717-1875-4BB2-821A-9A8B42689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 s="1"/>
  <c r="B3" i="1" l="1"/>
  <c r="B9" i="1" s="1"/>
  <c r="B8" i="1"/>
</calcChain>
</file>

<file path=xl/sharedStrings.xml><?xml version="1.0" encoding="utf-8"?>
<sst xmlns="http://schemas.openxmlformats.org/spreadsheetml/2006/main" count="7" uniqueCount="7">
  <si>
    <t>C1 (pF)</t>
  </si>
  <si>
    <t>C2 (pF)</t>
  </si>
  <si>
    <t>L_bot (nH)</t>
  </si>
  <si>
    <t>L_top (nH)</t>
  </si>
  <si>
    <t>fL (MHz)</t>
  </si>
  <si>
    <t>fH(MHz)</t>
  </si>
  <si>
    <t>Ceq (pF)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</si>
</sst>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9CF9-28C9-46D2-83E3-AF4E570CADDA}">
  <dimension ref="A1:C9"/>
  <sheetViews>
    <sheetView tabSelected="1" workbookViewId="0">
      <selection activeCell="B3" sqref="B3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>
        <v>15</v>
      </c>
    </row>
    <row r="2" spans="1:3" x14ac:dyDescent="0.3">
      <c r="A2" t="s">
        <v>1</v>
      </c>
      <c r="B2">
        <f>B1*4</f>
        <v>60</v>
      </c>
      <c r="C2">
        <f>B2/B1</f>
        <v>4</v>
      </c>
    </row>
    <row r="3" spans="1:3" x14ac:dyDescent="0.3">
      <c r="A3" t="s">
        <v>6</v>
      </c>
      <c r="B3">
        <f>B1*B2/(B2+B1)</f>
        <v>12</v>
      </c>
    </row>
    <row r="5" spans="1:3" x14ac:dyDescent="0.3">
      <c r="A5" t="s">
        <v>4</v>
      </c>
      <c r="B5">
        <v>98.7</v>
      </c>
    </row>
    <row r="6" spans="1:3" x14ac:dyDescent="0.3">
      <c r="A6" t="s">
        <v>5</v>
      </c>
      <c r="B6">
        <v>118.7</v>
      </c>
    </row>
    <row r="8" spans="1:3" x14ac:dyDescent="0.3">
      <c r="A8" t="s">
        <v>2</v>
      </c>
      <c r="B8">
        <f>1/((2*PI()*B5*10^(6))^2*B3*10^(-12))*10^9</f>
        <v>216.68293617931829</v>
      </c>
    </row>
    <row r="9" spans="1:3" x14ac:dyDescent="0.3">
      <c r="A9" t="s">
        <v>3</v>
      </c>
      <c r="B9">
        <f>1/((2*PI()*B6*10^(6))^2*B3*10^(-12))*10^9</f>
        <v>149.81578675958826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2026-02-08T03:54:54Z</dcterms:created>
  <dcterms:modified xsi:type="dcterms:W3CDTF">2026-02-08T16:38:13Z</dcterms:modified>
</cp:coreProperties>
</file>