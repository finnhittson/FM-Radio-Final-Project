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3\oscillator\"/>
    </mc:Choice>
  </mc:AlternateContent>
  <xr:revisionPtr revIDLastSave="0" documentId="13_ncr:1_{023556CF-AD18-483F-BF73-1EA9B3DD7423}" xr6:coauthVersionLast="47" xr6:coauthVersionMax="47" xr10:uidLastSave="{00000000-0000-0000-0000-000000000000}"/>
  <bookViews>
    <workbookView xWindow="8736" yWindow="696" windowWidth="13740" windowHeight="11232" xr2:uid="{01CC5717-1875-4BB2-821A-9A8B426898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5" i="1"/>
  <c r="B6" i="1"/>
  <c r="B10" i="1" s="1"/>
  <c r="B5" i="1"/>
  <c r="B9" i="1" s="1"/>
  <c r="B12" i="1" s="1"/>
</calcChain>
</file>

<file path=xl/sharedStrings.xml><?xml version="1.0" encoding="utf-8"?>
<sst xmlns="http://schemas.openxmlformats.org/spreadsheetml/2006/main" count="17" uniqueCount="13">
  <si>
    <t>C1 (pF)</t>
  </si>
  <si>
    <t>C2 (pF)</t>
  </si>
  <si>
    <t>L (nH)</t>
  </si>
  <si>
    <t>f_high (MHz)</t>
  </si>
  <si>
    <t>f_low (MHz)</t>
  </si>
  <si>
    <t>C_eq (pF)</t>
  </si>
  <si>
    <t>low freq</t>
  </si>
  <si>
    <t>high freq</t>
  </si>
  <si>
    <t>Varcap range (pF)</t>
  </si>
  <si>
    <t>Varcap bot (pF)</t>
  </si>
  <si>
    <t>Varcap top (pF)</t>
  </si>
  <si>
    <t>from datasheet</t>
  </si>
  <si>
    <t>Varcaop offset (pF)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</si>
</sst>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49CF9-28C9-46D2-83E3-AF4E570CADDA}">
  <dimension ref="A1:C18"/>
  <sheetViews>
    <sheetView tabSelected="1" workbookViewId="0">
      <selection activeCell="H21" sqref="H21"/>
    </sheetView>
  </sheetViews>
  <sheetFormatPr defaultRowHeight="14.4" x14ac:dyDescent="0.3"/>
  <cols>
    <col min="1" max="1" width="16.21875" bestFit="1" customWidth="1"/>
    <col min="2" max="2" width="11" bestFit="1" customWidth="1"/>
  </cols>
  <sheetData>
    <row r="1" spans="1:3" x14ac:dyDescent="0.3">
      <c r="A1" t="s">
        <v>2</v>
      </c>
      <c r="B1">
        <v>150</v>
      </c>
    </row>
    <row r="2" spans="1:3" x14ac:dyDescent="0.3">
      <c r="A2" t="s">
        <v>4</v>
      </c>
      <c r="B2">
        <v>98.7</v>
      </c>
    </row>
    <row r="3" spans="1:3" x14ac:dyDescent="0.3">
      <c r="A3" t="s">
        <v>3</v>
      </c>
      <c r="B3">
        <v>118.7</v>
      </c>
    </row>
    <row r="5" spans="1:3" x14ac:dyDescent="0.3">
      <c r="A5" t="s">
        <v>5</v>
      </c>
      <c r="B5" s="1">
        <f>1/((2*PI()*B2*10^6)^2*B1*10^(-9))*10^12</f>
        <v>17.334634894345463</v>
      </c>
      <c r="C5" t="s">
        <v>6</v>
      </c>
    </row>
    <row r="6" spans="1:3" x14ac:dyDescent="0.3">
      <c r="A6" t="s">
        <v>5</v>
      </c>
      <c r="B6" s="1">
        <f>1/((2*PI()*B3*10^6)^2*B1*10^(-9))*10^12</f>
        <v>11.985262940767061</v>
      </c>
      <c r="C6" t="s">
        <v>7</v>
      </c>
    </row>
    <row r="8" spans="1:3" x14ac:dyDescent="0.3">
      <c r="A8" t="s">
        <v>1</v>
      </c>
      <c r="B8" s="2">
        <v>100</v>
      </c>
    </row>
    <row r="9" spans="1:3" x14ac:dyDescent="0.3">
      <c r="A9" t="s">
        <v>0</v>
      </c>
      <c r="B9" s="1">
        <f>B8*B5/(B8-B5)</f>
        <v>20.969646565027666</v>
      </c>
      <c r="C9" t="s">
        <v>6</v>
      </c>
    </row>
    <row r="10" spans="1:3" x14ac:dyDescent="0.3">
      <c r="A10" t="s">
        <v>0</v>
      </c>
      <c r="B10" s="1">
        <f>B8*B6/(B8-B6)</f>
        <v>13.617336529337255</v>
      </c>
      <c r="C10" t="s">
        <v>7</v>
      </c>
    </row>
    <row r="11" spans="1:3" x14ac:dyDescent="0.3">
      <c r="B11" s="1"/>
    </row>
    <row r="12" spans="1:3" x14ac:dyDescent="0.3">
      <c r="A12" t="s">
        <v>8</v>
      </c>
      <c r="B12" s="1">
        <f>B9-B10</f>
        <v>7.3523100356904116</v>
      </c>
    </row>
    <row r="14" spans="1:3" x14ac:dyDescent="0.3">
      <c r="A14" t="s">
        <v>10</v>
      </c>
      <c r="B14">
        <v>18</v>
      </c>
      <c r="C14" t="s">
        <v>11</v>
      </c>
    </row>
    <row r="15" spans="1:3" x14ac:dyDescent="0.3">
      <c r="A15" t="s">
        <v>9</v>
      </c>
      <c r="B15" s="1">
        <f>B14-B12</f>
        <v>10.647689964309588</v>
      </c>
    </row>
    <row r="17" spans="1:2" x14ac:dyDescent="0.3">
      <c r="A17" t="s">
        <v>12</v>
      </c>
      <c r="B17" s="1">
        <f>B9-B14</f>
        <v>2.9696465650276664</v>
      </c>
    </row>
    <row r="18" spans="1:2" x14ac:dyDescent="0.3">
      <c r="B1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2026-02-08T03:54:54Z</dcterms:created>
  <dcterms:modified xsi:type="dcterms:W3CDTF">2026-02-10T17:51:07Z</dcterms:modified>
</cp:coreProperties>
</file>