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ee251\lab3\mixer-oscillator\"/>
    </mc:Choice>
  </mc:AlternateContent>
  <xr:revisionPtr revIDLastSave="0" documentId="8_{543B40AF-891B-491D-A4A4-6E8AE20A8D10}" xr6:coauthVersionLast="47" xr6:coauthVersionMax="47" xr10:uidLastSave="{00000000-0000-0000-0000-000000000000}"/>
  <bookViews>
    <workbookView xWindow="8736" yWindow="696" windowWidth="13740" windowHeight="11232" xr2:uid="{A50CB518-3203-47F3-A69B-33C5CFC9F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2" i="1"/>
  <c r="F3" i="1" s="1"/>
  <c r="B12" i="1"/>
  <c r="B13" i="1" s="1"/>
  <c r="E10" i="1"/>
  <c r="H10" i="1"/>
  <c r="B3" i="1"/>
  <c r="B6" i="1" s="1"/>
  <c r="F6" i="1" l="1"/>
</calcChain>
</file>

<file path=xl/sharedStrings.xml><?xml version="1.0" encoding="utf-8"?>
<sst xmlns="http://schemas.openxmlformats.org/spreadsheetml/2006/main" count="26" uniqueCount="14">
  <si>
    <t>f (MHz)</t>
  </si>
  <si>
    <t>L (nH)</t>
  </si>
  <si>
    <t>C2 (pF)</t>
  </si>
  <si>
    <t>C1 (pF)</t>
  </si>
  <si>
    <t>Ceq (pF)</t>
  </si>
  <si>
    <t>Cvar</t>
  </si>
  <si>
    <t>R</t>
  </si>
  <si>
    <t>C (pF)</t>
  </si>
  <si>
    <t>L(nH)</t>
  </si>
  <si>
    <t>C (nF)</t>
  </si>
  <si>
    <t>Q</t>
  </si>
  <si>
    <t>&lt;=36</t>
  </si>
  <si>
    <t>&gt;=18</t>
  </si>
  <si>
    <t>10n for 18pF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</si>
</sst>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7642-A24D-49E2-BA76-F7C73C4022A4}">
  <dimension ref="A1:H15"/>
  <sheetViews>
    <sheetView tabSelected="1" workbookViewId="0">
      <selection activeCell="G20" sqref="G20"/>
    </sheetView>
  </sheetViews>
  <sheetFormatPr defaultRowHeight="14.4" x14ac:dyDescent="0.3"/>
  <cols>
    <col min="1" max="1" width="11" bestFit="1" customWidth="1"/>
    <col min="2" max="2" width="12" bestFit="1" customWidth="1"/>
    <col min="4" max="4" width="8.88671875" customWidth="1"/>
    <col min="5" max="5" width="12" bestFit="1" customWidth="1"/>
    <col min="8" max="8" width="11" bestFit="1" customWidth="1"/>
  </cols>
  <sheetData>
    <row r="1" spans="1:8" x14ac:dyDescent="0.3">
      <c r="A1" t="s">
        <v>0</v>
      </c>
      <c r="B1">
        <v>98</v>
      </c>
      <c r="E1" t="s">
        <v>0</v>
      </c>
      <c r="F1">
        <v>120</v>
      </c>
    </row>
    <row r="2" spans="1:8" x14ac:dyDescent="0.3">
      <c r="A2" t="s">
        <v>1</v>
      </c>
      <c r="B2">
        <v>50</v>
      </c>
      <c r="E2" t="s">
        <v>1</v>
      </c>
      <c r="F2">
        <f>B2</f>
        <v>50</v>
      </c>
    </row>
    <row r="3" spans="1:8" x14ac:dyDescent="0.3">
      <c r="A3" t="s">
        <v>4</v>
      </c>
      <c r="B3" s="1">
        <f>1/((2*PI()*B1*10^6)^2*B2*10^(-9))*10^12</f>
        <v>52.749470867522795</v>
      </c>
      <c r="E3" t="s">
        <v>4</v>
      </c>
      <c r="F3" s="1">
        <f>1/((2*PI()*F1*10^6)^2*F2*10^(-9))*10^12</f>
        <v>35.180966542478394</v>
      </c>
    </row>
    <row r="4" spans="1:8" x14ac:dyDescent="0.3">
      <c r="A4" t="s">
        <v>2</v>
      </c>
      <c r="B4">
        <v>110</v>
      </c>
      <c r="E4" t="s">
        <v>2</v>
      </c>
      <c r="F4">
        <f>B4</f>
        <v>110</v>
      </c>
    </row>
    <row r="5" spans="1:8" x14ac:dyDescent="0.3">
      <c r="A5" t="s">
        <v>3</v>
      </c>
      <c r="B5" s="2">
        <v>20</v>
      </c>
      <c r="E5" t="s">
        <v>3</v>
      </c>
      <c r="F5" s="2">
        <f>B5</f>
        <v>20</v>
      </c>
    </row>
    <row r="6" spans="1:8" x14ac:dyDescent="0.3">
      <c r="A6" t="s">
        <v>5</v>
      </c>
      <c r="B6" s="1">
        <f>B3-B5*B4/(B5+B4)</f>
        <v>35.826393944445869</v>
      </c>
      <c r="C6" t="s">
        <v>11</v>
      </c>
      <c r="E6" t="s">
        <v>5</v>
      </c>
      <c r="F6" s="1">
        <f>F3-F5*F4/(F5+F4)</f>
        <v>18.257889619401471</v>
      </c>
      <c r="G6" t="s">
        <v>12</v>
      </c>
    </row>
    <row r="8" spans="1:8" x14ac:dyDescent="0.3">
      <c r="A8" t="s">
        <v>0</v>
      </c>
      <c r="B8">
        <v>10.7</v>
      </c>
      <c r="D8" t="s">
        <v>0</v>
      </c>
      <c r="E8">
        <v>30</v>
      </c>
      <c r="G8" t="s">
        <v>6</v>
      </c>
      <c r="H8">
        <v>40</v>
      </c>
    </row>
    <row r="9" spans="1:8" x14ac:dyDescent="0.3">
      <c r="A9" t="s">
        <v>8</v>
      </c>
      <c r="B9">
        <v>100</v>
      </c>
      <c r="D9" t="s">
        <v>6</v>
      </c>
      <c r="E9">
        <v>100</v>
      </c>
      <c r="G9" t="s">
        <v>7</v>
      </c>
      <c r="H9">
        <v>50</v>
      </c>
    </row>
    <row r="10" spans="1:8" x14ac:dyDescent="0.3">
      <c r="A10" t="s">
        <v>6</v>
      </c>
      <c r="B10">
        <v>2200</v>
      </c>
      <c r="D10" t="s">
        <v>7</v>
      </c>
      <c r="E10" s="1">
        <f>1/(2*PI()*E8*10^6*E9)*10^12</f>
        <v>53.051647697298449</v>
      </c>
      <c r="G10" t="s">
        <v>0</v>
      </c>
      <c r="H10" s="1">
        <f>1/(2*PI()*H8*H9*10^(-12))/10^6</f>
        <v>79.577471545947688</v>
      </c>
    </row>
    <row r="12" spans="1:8" x14ac:dyDescent="0.3">
      <c r="A12" t="s">
        <v>9</v>
      </c>
      <c r="B12" s="1">
        <f>1/((2*PI()*B8*10^6)^2*B9*10^(-9))*10^9</f>
        <v>2.2124461446925014</v>
      </c>
    </row>
    <row r="13" spans="1:8" x14ac:dyDescent="0.3">
      <c r="A13" t="s">
        <v>10</v>
      </c>
      <c r="B13" s="3">
        <f>B10*SQRT(B12*10^(-9)/(B9*10^(-9)))</f>
        <v>327.23446243193439</v>
      </c>
    </row>
    <row r="15" spans="1:8" x14ac:dyDescent="0.3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2026-02-14T21:02:02Z</dcterms:created>
  <dcterms:modified xsi:type="dcterms:W3CDTF">2026-02-16T05:26:40Z</dcterms:modified>
</cp:coreProperties>
</file>