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251\lab4\"/>
    </mc:Choice>
  </mc:AlternateContent>
  <xr:revisionPtr revIDLastSave="0" documentId="13_ncr:1_{44A266CF-9AD1-41DA-A406-6E0C827CB601}" xr6:coauthVersionLast="47" xr6:coauthVersionMax="47" xr10:uidLastSave="{00000000-0000-0000-0000-000000000000}"/>
  <bookViews>
    <workbookView xWindow="6840" yWindow="732" windowWidth="16200" windowHeight="11232" xr2:uid="{8EEEAC13-49F3-4E7C-B747-C8BB4ADA5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 s="1"/>
  <c r="B7" i="1" s="1"/>
  <c r="B12" i="1"/>
  <c r="F11" i="1"/>
  <c r="F12" i="1" s="1"/>
  <c r="F4" i="1"/>
  <c r="B2" i="1"/>
  <c r="B1" i="1"/>
</calcChain>
</file>

<file path=xl/sharedStrings.xml><?xml version="1.0" encoding="utf-8"?>
<sst xmlns="http://schemas.openxmlformats.org/spreadsheetml/2006/main" count="20" uniqueCount="13">
  <si>
    <t>f0</t>
  </si>
  <si>
    <t>BW</t>
  </si>
  <si>
    <t>Q</t>
  </si>
  <si>
    <t>k</t>
  </si>
  <si>
    <t>R</t>
  </si>
  <si>
    <t>L (nH)</t>
  </si>
  <si>
    <t>C (nF)</t>
  </si>
  <si>
    <t>N</t>
  </si>
  <si>
    <t>r (mm)</t>
  </si>
  <si>
    <t>l (mm)</t>
  </si>
  <si>
    <t>wire diam (mm)</t>
  </si>
  <si>
    <t>spacing (mm)</t>
  </si>
  <si>
    <t>f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</si>
</sst>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0547-319A-4F8C-B0D9-22AAD89B234B}">
  <dimension ref="A1:F12"/>
  <sheetViews>
    <sheetView tabSelected="1" workbookViewId="0">
      <selection activeCell="B4" sqref="B4"/>
    </sheetView>
  </sheetViews>
  <sheetFormatPr defaultRowHeight="14.4" x14ac:dyDescent="0.3"/>
  <cols>
    <col min="2" max="2" width="12" bestFit="1" customWidth="1"/>
    <col min="5" max="5" width="13.44140625" bestFit="1" customWidth="1"/>
  </cols>
  <sheetData>
    <row r="1" spans="1:6" x14ac:dyDescent="0.3">
      <c r="A1" t="s">
        <v>0</v>
      </c>
      <c r="B1">
        <f>10.7*10^6</f>
        <v>10700000</v>
      </c>
      <c r="E1" t="s">
        <v>8</v>
      </c>
      <c r="F1">
        <v>10</v>
      </c>
    </row>
    <row r="2" spans="1:6" x14ac:dyDescent="0.3">
      <c r="A2" t="s">
        <v>1</v>
      </c>
      <c r="B2">
        <f>180*10^3</f>
        <v>180000</v>
      </c>
      <c r="E2" t="s">
        <v>7</v>
      </c>
      <c r="F2">
        <v>10</v>
      </c>
    </row>
    <row r="3" spans="1:6" x14ac:dyDescent="0.3">
      <c r="A3" t="s">
        <v>5</v>
      </c>
      <c r="B3" s="3">
        <v>400</v>
      </c>
      <c r="E3" t="s">
        <v>9</v>
      </c>
      <c r="F3">
        <v>10</v>
      </c>
    </row>
    <row r="4" spans="1:6" x14ac:dyDescent="0.3">
      <c r="A4" t="s">
        <v>6</v>
      </c>
      <c r="B4" s="2">
        <f>1/((2*PI()*B1)^2*B3*10^(-9))*10^9</f>
        <v>0.55311153617312536</v>
      </c>
      <c r="E4" t="s">
        <v>5</v>
      </c>
      <c r="F4">
        <f>(F1/25.4)^2*F2/(9*F3/25.4+10*F3/25.4)*1000</f>
        <v>207.21094073767094</v>
      </c>
    </row>
    <row r="5" spans="1:6" x14ac:dyDescent="0.3">
      <c r="A5" t="s">
        <v>4</v>
      </c>
      <c r="B5" s="2">
        <v>4000</v>
      </c>
    </row>
    <row r="6" spans="1:6" x14ac:dyDescent="0.3">
      <c r="A6" t="s">
        <v>2</v>
      </c>
      <c r="B6" s="3">
        <f>B5*SQRT(B4/B3)</f>
        <v>148.74293746906108</v>
      </c>
    </row>
    <row r="7" spans="1:6" x14ac:dyDescent="0.3">
      <c r="A7" t="s">
        <v>3</v>
      </c>
      <c r="B7" s="1">
        <f>1/B6</f>
        <v>6.7230082786821571E-3</v>
      </c>
      <c r="E7" t="s">
        <v>10</v>
      </c>
      <c r="F7">
        <v>1.31</v>
      </c>
    </row>
    <row r="8" spans="1:6" x14ac:dyDescent="0.3">
      <c r="E8" t="s">
        <v>11</v>
      </c>
      <c r="F8">
        <v>1</v>
      </c>
    </row>
    <row r="9" spans="1:6" x14ac:dyDescent="0.3">
      <c r="E9" t="s">
        <v>8</v>
      </c>
      <c r="F9">
        <v>9</v>
      </c>
    </row>
    <row r="10" spans="1:6" x14ac:dyDescent="0.3">
      <c r="A10" t="s">
        <v>12</v>
      </c>
      <c r="B10">
        <v>15000</v>
      </c>
      <c r="E10" t="s">
        <v>7</v>
      </c>
      <c r="F10">
        <v>4</v>
      </c>
    </row>
    <row r="11" spans="1:6" x14ac:dyDescent="0.3">
      <c r="A11" t="s">
        <v>4</v>
      </c>
      <c r="B11">
        <v>10000</v>
      </c>
      <c r="E11" t="s">
        <v>9</v>
      </c>
      <c r="F11">
        <f>F7*F10+(F10-1)*F8</f>
        <v>8.24</v>
      </c>
    </row>
    <row r="12" spans="1:6" x14ac:dyDescent="0.3">
      <c r="A12" t="s">
        <v>6</v>
      </c>
      <c r="B12" s="2">
        <f>1/(2*PI()*B11*B10)*1000000000</f>
        <v>1.0610329539459691</v>
      </c>
      <c r="E12" t="s">
        <v>5</v>
      </c>
      <c r="F12" s="3">
        <f>(F9/25.4)^2*F10^2/(9*F11/25.4+10*F11/25.4)*1000</f>
        <v>325.90458640293878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2026-02-22T23:37:07Z</dcterms:created>
  <dcterms:modified xsi:type="dcterms:W3CDTF">2026-03-08T05:16:40Z</dcterms:modified>
</cp:coreProperties>
</file>